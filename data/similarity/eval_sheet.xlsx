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xcalibur\claude_study\"/>
    </mc:Choice>
  </mc:AlternateContent>
  <xr:revisionPtr revIDLastSave="0" documentId="13_ncr:1_{A71B843F-750C-48F3-8D8C-AA101FEACC51}" xr6:coauthVersionLast="47" xr6:coauthVersionMax="47" xr10:uidLastSave="{00000000-0000-0000-0000-000000000000}"/>
  <bookViews>
    <workbookView xWindow="42960" yWindow="2940" windowWidth="21435" windowHeight="13230" xr2:uid="{00000000-000D-0000-FFFF-FFFF00000000}"/>
  </bookViews>
  <sheets>
    <sheet name="Evaluation" sheetId="1" r:id="rId1"/>
  </sheets>
  <calcPr calcId="191029"/>
</workbook>
</file>

<file path=xl/calcChain.xml><?xml version="1.0" encoding="utf-8"?>
<calcChain xmlns="http://schemas.openxmlformats.org/spreadsheetml/2006/main">
  <c r="E35" i="1" l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35" i="1" l="1"/>
  <c r="L35" i="1"/>
  <c r="G35" i="1"/>
</calcChain>
</file>

<file path=xl/sharedStrings.xml><?xml version="1.0" encoding="utf-8"?>
<sst xmlns="http://schemas.openxmlformats.org/spreadsheetml/2006/main" count="232" uniqueCount="166">
  <si>
    <t>Prompt Similarity Service — Evaluation Sheet</t>
  </si>
  <si>
    <t>Pair ID</t>
  </si>
  <si>
    <t>Expected Label</t>
  </si>
  <si>
    <t>Expected Range</t>
  </si>
  <si>
    <t>Prompt A ID</t>
  </si>
  <si>
    <t>Prompt B ID</t>
  </si>
  <si>
    <t>Rationale</t>
  </si>
  <si>
    <t>CLI Command</t>
  </si>
  <si>
    <t>Actual Score</t>
  </si>
  <si>
    <t>Actual Label</t>
  </si>
  <si>
    <t>Pass / Fail</t>
  </si>
  <si>
    <t>Notes</t>
  </si>
  <si>
    <t>P01</t>
  </si>
  <si>
    <t>HIGH</t>
  </si>
  <si>
    <t>0.85 – 1.00</t>
  </si>
  <si>
    <t>verification.dob</t>
  </si>
  <si>
    <t>verification.identity</t>
  </si>
  <si>
    <t>Near-duplicate — both ask for date of birth to verify identity, same flow</t>
  </si>
  <si>
    <t>python cli.py similar verification.dob --limit 10 --threshold 0.0</t>
  </si>
  <si>
    <t>P02</t>
  </si>
  <si>
    <t>common.error_recovery</t>
  </si>
  <si>
    <t>common.error_handling</t>
  </si>
  <si>
    <t>Near-duplicate — both handle errors/confusion calmly and offer alternatives</t>
  </si>
  <si>
    <t>python cli.py similar common.error_recovery --limit 10 --threshold 0.0</t>
  </si>
  <si>
    <t>P03</t>
  </si>
  <si>
    <t>0.82 – 1.00</t>
  </si>
  <si>
    <t>reminder.appointment.24hr</t>
  </si>
  <si>
    <t>reminder.appointment.week</t>
  </si>
  <si>
    <t>Both remind about upcoming appointments — only time window differs (24hr vs 1 week)</t>
  </si>
  <si>
    <t>python cli.py similar reminder.appointment.24hr --limit 10 --threshold 0.0</t>
  </si>
  <si>
    <t>P04</t>
  </si>
  <si>
    <t>0.80 – 1.00</t>
  </si>
  <si>
    <t>followup.post_discharge</t>
  </si>
  <si>
    <t>followup.post_procedure</t>
  </si>
  <si>
    <t>Both conduct post-event follow-up check-ins — discharge vs procedure are closely related</t>
  </si>
  <si>
    <t>python cli.py similar followup.post_discharge --limit 10 --threshold 0.0</t>
  </si>
  <si>
    <t>P05</t>
  </si>
  <si>
    <t>survey.question.base</t>
  </si>
  <si>
    <t>form.field.prompt</t>
  </si>
  <si>
    <t>Both ask a survey/form question and wait for a response — structurally identical purpose</t>
  </si>
  <si>
    <t>python cli.py similar survey.question.base --limit 10 --threshold 0.0</t>
  </si>
  <si>
    <t>P06</t>
  </si>
  <si>
    <t>0.78 – 1.00</t>
  </si>
  <si>
    <t>emergency.detection.chest_pain</t>
  </si>
  <si>
    <t>emergency.detection.stroke_signs</t>
  </si>
  <si>
    <t>Both detect emergency signals and instruct to escalate immediately</t>
  </si>
  <si>
    <t>python cli.py similar emergency.detection.chest_pain --limit 10 --threshold 0.0</t>
  </si>
  <si>
    <t>P07</t>
  </si>
  <si>
    <t>vitals.blood_pressure.self_report</t>
  </si>
  <si>
    <t>vitals.blood_sugar.self_report</t>
  </si>
  <si>
    <t>Both ask about blood-based home monitoring for chronic conditions</t>
  </si>
  <si>
    <t>python cli.py similar vitals.blood_pressure.self_report --limit 10 --threshold 0.0</t>
  </si>
  <si>
    <t>P08</t>
  </si>
  <si>
    <t>0.77 – 1.00</t>
  </si>
  <si>
    <t>empathy.loss.bereavement</t>
  </si>
  <si>
    <t>empathy.diagnosis.new</t>
  </si>
  <si>
    <t>Both express empathy in response to a difficult patient revelation (loss vs diagnosis)</t>
  </si>
  <si>
    <t>python cli.py similar empathy.loss.bereavement --limit 10 --threshold 0.0</t>
  </si>
  <si>
    <t>P09</t>
  </si>
  <si>
    <t>0.75 – 1.00</t>
  </si>
  <si>
    <t>greeting.time_of_day.morning</t>
  </si>
  <si>
    <t>greeting.time_of_day.afternoon</t>
  </si>
  <si>
    <t>Both are time-of-day greetings — different time of day, identical purpose and structure</t>
  </si>
  <si>
    <t>python cli.py similar greeting.time_of_day.morning --limit 10 --threshold 0.0</t>
  </si>
  <si>
    <t>P10</t>
  </si>
  <si>
    <t>consent.verbal.general</t>
  </si>
  <si>
    <t>consent.recording.call</t>
  </si>
  <si>
    <t>Both collect consent — one general verbal, one specifically about recording</t>
  </si>
  <si>
    <t>python cli.py similar consent.verbal.general --limit 10 --threshold 0.0</t>
  </si>
  <si>
    <t>P11</t>
  </si>
  <si>
    <t>MEDIUM</t>
  </si>
  <si>
    <t>0.50 – 0.74</t>
  </si>
  <si>
    <t>os.style.warm</t>
  </si>
  <si>
    <t>os.style.professional</t>
  </si>
  <si>
    <t>Both are tone/style directives, but warm is about encouragement and professional is about precision — same domain, different intent</t>
  </si>
  <si>
    <t>python cli.py similar os.style.warm --limit 10 --threshold 0.0</t>
  </si>
  <si>
    <t>P12</t>
  </si>
  <si>
    <t>pain.assessment.initial</t>
  </si>
  <si>
    <t>pain.scale.numeric</t>
  </si>
  <si>
    <t>Both are pain-related but initial open detection vs numeric scale — related sub-tasks</t>
  </si>
  <si>
    <t>python cli.py similar pain.assessment.initial --limit 10 --threshold 0.0</t>
  </si>
  <si>
    <t>P13</t>
  </si>
  <si>
    <t>mental_health.phq2.screening</t>
  </si>
  <si>
    <t>mental_health.anxiety.check</t>
  </si>
  <si>
    <t>Both are mental health screening tools but PHQ-2 depression vs anxiety — related domain, different clinical targets</t>
  </si>
  <si>
    <t>python cli.py similar mental_health.phq2.screening --limit 10 --threshold 0.0</t>
  </si>
  <si>
    <t>P14</t>
  </si>
  <si>
    <t>survey.question.with_options</t>
  </si>
  <si>
    <t>survey.question.yesno</t>
  </si>
  <si>
    <t>Survey with options vs survey with yes/no — structurally similar but constrained answer types differ</t>
  </si>
  <si>
    <t>python cli.py similar survey.question.with_options --limit 10 --threshold 0.0</t>
  </si>
  <si>
    <t>P15</t>
  </si>
  <si>
    <t>nutrition.assessment.general</t>
  </si>
  <si>
    <t>nutrition.shopping.access</t>
  </si>
  <si>
    <t>Both are nutrition-related but general eating vs food access/shopping — same category, distinct concerns</t>
  </si>
  <si>
    <t>python cli.py similar nutrition.assessment.general --limit 10 --threshold 0.0</t>
  </si>
  <si>
    <t>P16</t>
  </si>
  <si>
    <t>wellness.check.general</t>
  </si>
  <si>
    <t>wellness.check.physical</t>
  </si>
  <si>
    <t>Both are wellness checks but general vs physical focus — same opening, different scope</t>
  </si>
  <si>
    <t>python cli.py similar wellness.check.general --limit 10 --threshold 0.0</t>
  </si>
  <si>
    <t>P17</t>
  </si>
  <si>
    <t>escalation.clinical.flag</t>
  </si>
  <si>
    <t>escalation.social.flag</t>
  </si>
  <si>
    <t>Both are clinical escalation/flagging actions — clinical vs social concern, same escalation pattern</t>
  </si>
  <si>
    <t>python cli.py similar escalation.clinical.flag --limit 10 --threshold 0.0</t>
  </si>
  <si>
    <t>P18</t>
  </si>
  <si>
    <t>0.45 – 0.72</t>
  </si>
  <si>
    <t>medication.review.opening</t>
  </si>
  <si>
    <t>medication.review.each_item</t>
  </si>
  <si>
    <t>Medication review introduction vs per-item check — sequential steps in the same workflow</t>
  </si>
  <si>
    <t>python cli.py similar medication.review.opening --limit 10 --threshold 0.0</t>
  </si>
  <si>
    <t>P19</t>
  </si>
  <si>
    <t>0.45 – 0.70</t>
  </si>
  <si>
    <t>os.style.empathetic</t>
  </si>
  <si>
    <t>Warm tone directive vs empathy directive — both are supportive styles but different behavioral instructions</t>
  </si>
  <si>
    <t>P20</t>
  </si>
  <si>
    <t>0.45 – 0.68</t>
  </si>
  <si>
    <t>appointment.booking.standard</t>
  </si>
  <si>
    <t>appointment.reminder.upcoming</t>
  </si>
  <si>
    <t>Appointment booking vs appointment reminder — same domain (appointments) but different actions (create vs remind)</t>
  </si>
  <si>
    <t>python cli.py similar appointment.booking.standard --limit 10 --threshold 0.0</t>
  </si>
  <si>
    <t>P21</t>
  </si>
  <si>
    <t>LOW</t>
  </si>
  <si>
    <t>0.00 – 0.44</t>
  </si>
  <si>
    <t>Completely unrelated — date of birth verification vs medication review</t>
  </si>
  <si>
    <t>P22</t>
  </si>
  <si>
    <t>Emergency escalation directive vs nutrition food access check — completely different contexts</t>
  </si>
  <si>
    <t>P23</t>
  </si>
  <si>
    <t>receptionist.greeting</t>
  </si>
  <si>
    <t>Greeting prompt vs clinical escalation flag — opposite ends of a call lifecycle</t>
  </si>
  <si>
    <t>python cli.py similar receptionist.greeting --limit 10 --threshold 0.0</t>
  </si>
  <si>
    <t>P24</t>
  </si>
  <si>
    <t>survey.question.open_ended</t>
  </si>
  <si>
    <t>Style directive (tone) vs survey question — different abstraction layers entirely</t>
  </si>
  <si>
    <t>python cli.py similar os.style.professional --limit 10 --threshold 0.0</t>
  </si>
  <si>
    <t>P25</t>
  </si>
  <si>
    <t>Consent/recording notice vs post-discharge follow-up — legal notice vs welfare check-in</t>
  </si>
  <si>
    <t>python cli.py similar consent.recording.call --limit 10 --threshold 0.0</t>
  </si>
  <si>
    <t>P26</t>
  </si>
  <si>
    <t>receptionist.handoff</t>
  </si>
  <si>
    <t>Handoff/transfer prompt vs blood pressure self-reporting — unrelated workflow steps</t>
  </si>
  <si>
    <t>python cli.py similar receptionist.handoff --limit 10 --threshold 0.0</t>
  </si>
  <si>
    <t>P27</t>
  </si>
  <si>
    <t>closing.standard</t>
  </si>
  <si>
    <t>Closing summary vs PHQ-2 depression screening — administrative close vs clinical assessment</t>
  </si>
  <si>
    <t>python cli.py similar closing.standard --limit 10 --threshold 0.0</t>
  </si>
  <si>
    <t>P28</t>
  </si>
  <si>
    <t>Bereavement empathy vs pain scale — emotional support vs clinical measurement</t>
  </si>
  <si>
    <t>P29</t>
  </si>
  <si>
    <t>directive.priority.safety_check_mandatory</t>
  </si>
  <si>
    <t>Safety check directive vs morning greeting — safety protocol vs casual opener</t>
  </si>
  <si>
    <t>python cli.py similar directive.priority.safety_check_mandatory --limit 10 --threshold 0.0</t>
  </si>
  <si>
    <t>P30</t>
  </si>
  <si>
    <t>team.handoff.to_nurse</t>
  </si>
  <si>
    <t>Nutrition check vs team handoff to nurse — clinical dietary assessment vs call transfer action</t>
  </si>
  <si>
    <t>SUMMARY</t>
  </si>
  <si>
    <t>Total Pairs</t>
  </si>
  <si>
    <t>Passed</t>
  </si>
  <si>
    <t>Failed</t>
  </si>
  <si>
    <t>Pass Rate</t>
  </si>
  <si>
    <t>HIGH  (0.75–1.0)</t>
  </si>
  <si>
    <t>MEDIUM  (0.45–0.74)</t>
  </si>
  <si>
    <t>LOW  (0.0–0.44)</t>
  </si>
  <si>
    <t>← Fill H &amp; I to auto-score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</si>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</sst>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4"/>
      <color rgb="FFCDD6F4"/>
      <name val="Arial"/>
      <family val="2"/>
    </font>
    <font>
      <b/>
      <sz val="10"/>
      <color rgb="FFCDD6F4"/>
      <name val="Arial"/>
      <family val="2"/>
    </font>
    <font>
      <sz val="9"/>
      <color rgb="FFCDD6F4"/>
      <name val="Arial"/>
      <family val="2"/>
    </font>
    <font>
      <sz val="9"/>
      <color rgb="FFA6E3A1"/>
      <name val="Arial"/>
      <family val="2"/>
    </font>
    <font>
      <sz val="9"/>
      <color rgb="FF6C7086"/>
      <name val="Arial"/>
      <family val="2"/>
    </font>
    <font>
      <i/>
      <sz val="9"/>
      <color rgb="FF89B4FA"/>
      <name val="Arial"/>
      <family val="2"/>
    </font>
    <font>
      <sz val="9"/>
      <color rgb="FFFAB387"/>
      <name val="Arial"/>
      <family val="2"/>
    </font>
    <font>
      <sz val="9"/>
      <color rgb="FFF38BA8"/>
      <name val="Arial"/>
      <family val="2"/>
    </font>
    <font>
      <b/>
      <sz val="9"/>
      <color rgb="FF6C7086"/>
      <name val="Arial"/>
      <family val="2"/>
    </font>
    <font>
      <b/>
      <sz val="9"/>
      <color rgb="FFCDD6F4"/>
      <name val="Arial"/>
      <family val="2"/>
    </font>
    <font>
      <b/>
      <sz val="8"/>
      <color rgb="FFA6E3A1"/>
      <name val="Arial"/>
      <family val="2"/>
    </font>
    <font>
      <b/>
      <sz val="8"/>
      <color rgb="FFFAB387"/>
      <name val="Arial"/>
      <family val="2"/>
    </font>
    <font>
      <b/>
      <sz val="8"/>
      <color rgb="FFF38BA8"/>
      <name val="Arial"/>
      <family val="2"/>
    </font>
    <font>
      <b/>
      <sz val="8"/>
      <color rgb="FF6C7086"/>
      <name val="Arial"/>
      <family val="2"/>
    </font>
    <font>
      <sz val="11"/>
      <color rgb="FFD36363"/>
      <name val="Consolas"/>
      <family val="3"/>
    </font>
    <font>
      <sz val="9"/>
      <color rgb="FFCDD6F4"/>
      <name val="Arial"/>
      <family val="2"/>
    </font>
    <font>
      <sz val="11"/>
      <color rgb="FFD36363"/>
      <name val="Consolas"/>
      <family val="3"/>
    </font>
    <font>
      <sz val="11"/>
      <color rgb="FFFFFFFF"/>
      <name val="Consolas"/>
      <family val="3"/>
    </font>
    <font>
      <sz val="11"/>
      <color rgb="FFD36363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313244"/>
      </patternFill>
    </fill>
    <fill>
      <patternFill patternType="solid">
        <fgColor rgb="FF1E3A2F"/>
      </patternFill>
    </fill>
    <fill>
      <patternFill patternType="solid">
        <fgColor rgb="FF2A2A3E"/>
      </patternFill>
    </fill>
    <fill>
      <patternFill patternType="solid">
        <fgColor rgb="FF252535"/>
      </patternFill>
    </fill>
    <fill>
      <patternFill patternType="solid">
        <fgColor rgb="FF3A2E1E"/>
      </patternFill>
    </fill>
    <fill>
      <patternFill patternType="solid">
        <fgColor rgb="FF3A1E1E"/>
      </patternFill>
    </fill>
  </fills>
  <borders count="2">
    <border>
      <left/>
      <right/>
      <top/>
      <bottom/>
      <diagonal/>
    </border>
    <border>
      <left style="thin">
        <color rgb="FF45475A"/>
      </left>
      <right style="thin">
        <color rgb="FF45475A"/>
      </right>
      <top style="thin">
        <color rgb="FF45475A"/>
      </top>
      <bottom style="thin">
        <color rgb="FF45475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6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2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sz val="9"/>
        <color rgb="FFF38BA8"/>
        <name val="Arial"/>
      </font>
      <fill>
        <patternFill patternType="solid">
          <fgColor rgb="FF3A1E1E"/>
        </patternFill>
      </fill>
    </dxf>
    <dxf>
      <font>
        <b/>
        <sz val="9"/>
        <color rgb="FFA6E3A1"/>
        <name val="Arial"/>
      </font>
      <fill>
        <patternFill patternType="solid">
          <fgColor rgb="FF1E3A2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tabSelected="1" topLeftCell="C1" zoomScale="70" zoomScaleNormal="70" workbookViewId="0">
      <selection activeCell="H4" sqref="H4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5" width="28" customWidth="1"/>
    <col min="6" max="6" width="45" customWidth="1"/>
    <col min="7" max="7" width="50" customWidth="1"/>
    <col min="8" max="8" width="16.109375" customWidth="1"/>
    <col min="9" max="10" width="14" customWidth="1"/>
    <col min="11" max="11" width="13" customWidth="1"/>
    <col min="12" max="12" width="30" customWidth="1"/>
  </cols>
  <sheetData>
    <row r="1" spans="1:12" ht="36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3.9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8.0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165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ht="52.05" customHeight="1" x14ac:dyDescent="0.3">
      <c r="A4" s="3" t="s">
        <v>12</v>
      </c>
      <c r="B4" s="4" t="s">
        <v>13</v>
      </c>
      <c r="C4" s="5" t="s">
        <v>14</v>
      </c>
      <c r="D4" s="6" t="s">
        <v>15</v>
      </c>
      <c r="E4" s="6" t="s">
        <v>16</v>
      </c>
      <c r="F4" s="7" t="s">
        <v>17</v>
      </c>
      <c r="G4" s="8" t="s">
        <v>18</v>
      </c>
      <c r="H4" s="27">
        <v>0.85029999999999994</v>
      </c>
      <c r="I4" s="21">
        <v>0.88170000000000004</v>
      </c>
      <c r="J4" s="9"/>
      <c r="K4" s="9" t="str">
        <f>IF(I4="","",IF(AND(I4&gt;=0.85,I4&lt;=1),"✅ PASS","❌ FAIL"))</f>
        <v>✅ PASS</v>
      </c>
      <c r="L4" s="10"/>
    </row>
    <row r="5" spans="1:12" ht="52.05" customHeight="1" x14ac:dyDescent="0.3">
      <c r="A5" s="11" t="s">
        <v>19</v>
      </c>
      <c r="B5" s="4" t="s">
        <v>13</v>
      </c>
      <c r="C5" s="12" t="s">
        <v>14</v>
      </c>
      <c r="D5" s="13" t="s">
        <v>20</v>
      </c>
      <c r="E5" s="13" t="s">
        <v>21</v>
      </c>
      <c r="F5" s="14" t="s">
        <v>22</v>
      </c>
      <c r="G5" s="15" t="s">
        <v>23</v>
      </c>
      <c r="H5" s="27">
        <v>0.74339999999999995</v>
      </c>
      <c r="I5" s="21">
        <v>0.78749999999999998</v>
      </c>
      <c r="J5" s="9"/>
      <c r="K5" s="9" t="str">
        <f>IF(I5="","",IF(AND(I5&gt;=0.85,I5&lt;=1),"✅ PASS","❌ FAIL"))</f>
        <v>❌ FAIL</v>
      </c>
      <c r="L5" s="10"/>
    </row>
    <row r="6" spans="1:12" ht="52.05" customHeight="1" x14ac:dyDescent="0.3">
      <c r="A6" s="3" t="s">
        <v>24</v>
      </c>
      <c r="B6" s="4" t="s">
        <v>13</v>
      </c>
      <c r="C6" s="5" t="s">
        <v>25</v>
      </c>
      <c r="D6" s="6" t="s">
        <v>26</v>
      </c>
      <c r="E6" s="6" t="s">
        <v>27</v>
      </c>
      <c r="F6" s="7" t="s">
        <v>28</v>
      </c>
      <c r="G6" s="8" t="s">
        <v>29</v>
      </c>
      <c r="H6" s="27">
        <v>0.81130000000000002</v>
      </c>
      <c r="I6" s="21">
        <v>0.79620000000000002</v>
      </c>
      <c r="J6" s="9"/>
      <c r="K6" s="9" t="str">
        <f>IF(I6="","",IF(AND(I6&gt;=0.82,I6&lt;=1),"✅ PASS","❌ FAIL"))</f>
        <v>❌ FAIL</v>
      </c>
      <c r="L6" s="10"/>
    </row>
    <row r="7" spans="1:12" ht="52.05" customHeight="1" x14ac:dyDescent="0.3">
      <c r="A7" s="11" t="s">
        <v>30</v>
      </c>
      <c r="B7" s="4" t="s">
        <v>13</v>
      </c>
      <c r="C7" s="12" t="s">
        <v>31</v>
      </c>
      <c r="D7" s="13" t="s">
        <v>32</v>
      </c>
      <c r="E7" s="13" t="s">
        <v>33</v>
      </c>
      <c r="F7" s="14" t="s">
        <v>34</v>
      </c>
      <c r="G7" s="15" t="s">
        <v>35</v>
      </c>
      <c r="H7" s="27">
        <v>0.70069999999999999</v>
      </c>
      <c r="I7" s="21">
        <v>0.72729999999999995</v>
      </c>
      <c r="J7" s="9"/>
      <c r="K7" s="9" t="str">
        <f>IF(I7="","",IF(AND(I7&gt;=0.8,I7&lt;=1),"✅ PASS","❌ FAIL"))</f>
        <v>❌ FAIL</v>
      </c>
      <c r="L7" s="10"/>
    </row>
    <row r="8" spans="1:12" ht="52.05" customHeight="1" x14ac:dyDescent="0.3">
      <c r="A8" s="3" t="s">
        <v>36</v>
      </c>
      <c r="B8" s="4" t="s">
        <v>13</v>
      </c>
      <c r="C8" s="5" t="s">
        <v>31</v>
      </c>
      <c r="D8" s="6" t="s">
        <v>37</v>
      </c>
      <c r="E8" s="6" t="s">
        <v>38</v>
      </c>
      <c r="F8" s="7" t="s">
        <v>39</v>
      </c>
      <c r="G8" s="8" t="s">
        <v>40</v>
      </c>
      <c r="H8" s="27">
        <v>0.48330000000000001</v>
      </c>
      <c r="I8" s="9">
        <v>0.4582</v>
      </c>
      <c r="J8" s="9"/>
      <c r="K8" s="9" t="str">
        <f>IF(I8="","",IF(AND(I8&gt;=0.8,I8&lt;=1),"✅ PASS","❌ FAIL"))</f>
        <v>❌ FAIL</v>
      </c>
      <c r="L8" s="10"/>
    </row>
    <row r="9" spans="1:12" ht="52.05" customHeight="1" x14ac:dyDescent="0.3">
      <c r="A9" s="11" t="s">
        <v>41</v>
      </c>
      <c r="B9" s="4" t="s">
        <v>13</v>
      </c>
      <c r="C9" s="12" t="s">
        <v>42</v>
      </c>
      <c r="D9" s="13" t="s">
        <v>43</v>
      </c>
      <c r="E9" s="13" t="s">
        <v>44</v>
      </c>
      <c r="F9" s="14" t="s">
        <v>45</v>
      </c>
      <c r="G9" s="15" t="s">
        <v>46</v>
      </c>
      <c r="H9" s="27">
        <v>0.66059999999999997</v>
      </c>
      <c r="I9" s="21">
        <v>0.56169999999999998</v>
      </c>
      <c r="J9" s="9"/>
      <c r="K9" s="9" t="str">
        <f>IF(I9="","",IF(AND(I9&gt;=0.78,I9&lt;=1),"✅ PASS","❌ FAIL"))</f>
        <v>❌ FAIL</v>
      </c>
      <c r="L9" s="10"/>
    </row>
    <row r="10" spans="1:12" ht="52.05" customHeight="1" x14ac:dyDescent="0.3">
      <c r="A10" s="3" t="s">
        <v>47</v>
      </c>
      <c r="B10" s="4" t="s">
        <v>13</v>
      </c>
      <c r="C10" s="5" t="s">
        <v>42</v>
      </c>
      <c r="D10" s="6" t="s">
        <v>48</v>
      </c>
      <c r="E10" s="6" t="s">
        <v>49</v>
      </c>
      <c r="F10" s="7" t="s">
        <v>50</v>
      </c>
      <c r="G10" s="8" t="s">
        <v>51</v>
      </c>
      <c r="H10" s="27">
        <v>0.71109999999999995</v>
      </c>
      <c r="I10" s="21">
        <v>0.71950000000000003</v>
      </c>
      <c r="J10" s="9"/>
      <c r="K10" s="9" t="str">
        <f>IF(I10="","",IF(AND(I10&gt;=0.78,I10&lt;=1),"✅ PASS","❌ FAIL"))</f>
        <v>❌ FAIL</v>
      </c>
      <c r="L10" s="10"/>
    </row>
    <row r="11" spans="1:12" ht="52.05" customHeight="1" x14ac:dyDescent="0.3">
      <c r="A11" s="11" t="s">
        <v>52</v>
      </c>
      <c r="B11" s="4" t="s">
        <v>13</v>
      </c>
      <c r="C11" s="12" t="s">
        <v>53</v>
      </c>
      <c r="D11" s="13" t="s">
        <v>54</v>
      </c>
      <c r="E11" s="13" t="s">
        <v>55</v>
      </c>
      <c r="F11" s="14" t="s">
        <v>56</v>
      </c>
      <c r="G11" s="15" t="s">
        <v>57</v>
      </c>
      <c r="H11" s="27">
        <v>0.66220000000000001</v>
      </c>
      <c r="I11" s="21">
        <v>0.63449999999999995</v>
      </c>
      <c r="J11" s="9"/>
      <c r="K11" s="9" t="str">
        <f>IF(I11="","",IF(AND(I11&gt;=0.77,I11&lt;=1),"✅ PASS","❌ FAIL"))</f>
        <v>❌ FAIL</v>
      </c>
      <c r="L11" s="10"/>
    </row>
    <row r="12" spans="1:12" ht="52.05" customHeight="1" x14ac:dyDescent="0.3">
      <c r="A12" s="3" t="s">
        <v>58</v>
      </c>
      <c r="B12" s="4" t="s">
        <v>13</v>
      </c>
      <c r="C12" s="5" t="s">
        <v>59</v>
      </c>
      <c r="D12" s="6" t="s">
        <v>60</v>
      </c>
      <c r="E12" s="6" t="s">
        <v>61</v>
      </c>
      <c r="F12" s="7" t="s">
        <v>62</v>
      </c>
      <c r="G12" s="8" t="s">
        <v>63</v>
      </c>
      <c r="H12" s="27">
        <v>0.78380000000000005</v>
      </c>
      <c r="I12" s="21">
        <v>0.81630000000000003</v>
      </c>
      <c r="J12" s="9"/>
      <c r="K12" s="9" t="str">
        <f>IF(I12="","",IF(AND(I12&gt;=0.75,I12&lt;=1),"✅ PASS","❌ FAIL"))</f>
        <v>✅ PASS</v>
      </c>
      <c r="L12" s="10"/>
    </row>
    <row r="13" spans="1:12" ht="52.05" customHeight="1" x14ac:dyDescent="0.3">
      <c r="A13" s="11" t="s">
        <v>64</v>
      </c>
      <c r="B13" s="4" t="s">
        <v>13</v>
      </c>
      <c r="C13" s="12" t="s">
        <v>59</v>
      </c>
      <c r="D13" s="13" t="s">
        <v>65</v>
      </c>
      <c r="E13" s="13" t="s">
        <v>66</v>
      </c>
      <c r="F13" s="14" t="s">
        <v>67</v>
      </c>
      <c r="G13" s="15" t="s">
        <v>68</v>
      </c>
      <c r="H13" s="27">
        <v>0.64880000000000004</v>
      </c>
      <c r="I13" s="21">
        <v>0.58879999999999999</v>
      </c>
      <c r="J13" s="9"/>
      <c r="K13" s="9" t="str">
        <f>IF(I13="","",IF(AND(I13&gt;=0.75,I13&lt;=1),"✅ PASS","❌ FAIL"))</f>
        <v>❌ FAIL</v>
      </c>
      <c r="L13" s="10"/>
    </row>
    <row r="14" spans="1:12" ht="52.05" customHeight="1" x14ac:dyDescent="0.3">
      <c r="A14" s="3" t="s">
        <v>69</v>
      </c>
      <c r="B14" s="16" t="s">
        <v>70</v>
      </c>
      <c r="C14" s="5" t="s">
        <v>71</v>
      </c>
      <c r="D14" s="6" t="s">
        <v>72</v>
      </c>
      <c r="E14" s="6" t="s">
        <v>73</v>
      </c>
      <c r="F14" s="7" t="s">
        <v>74</v>
      </c>
      <c r="G14" s="8" t="s">
        <v>75</v>
      </c>
      <c r="H14" s="25"/>
      <c r="I14" s="21">
        <v>0.59770000000000001</v>
      </c>
      <c r="J14" s="9"/>
      <c r="K14" s="9" t="str">
        <f t="shared" ref="K14:K20" si="0">IF(I14="","",IF(AND(I14&gt;=0.5,I14&lt;=0.74),"✅ PASS","❌ FAIL"))</f>
        <v>✅ PASS</v>
      </c>
      <c r="L14" s="10"/>
    </row>
    <row r="15" spans="1:12" ht="52.05" customHeight="1" x14ac:dyDescent="0.3">
      <c r="A15" s="11" t="s">
        <v>76</v>
      </c>
      <c r="B15" s="16" t="s">
        <v>70</v>
      </c>
      <c r="C15" s="12" t="s">
        <v>71</v>
      </c>
      <c r="D15" s="13" t="s">
        <v>77</v>
      </c>
      <c r="E15" s="13" t="s">
        <v>78</v>
      </c>
      <c r="F15" s="14" t="s">
        <v>79</v>
      </c>
      <c r="G15" s="15" t="s">
        <v>80</v>
      </c>
      <c r="H15" s="27">
        <v>0.59840000000000004</v>
      </c>
      <c r="I15" s="21">
        <v>0.60240000000000005</v>
      </c>
      <c r="J15" s="9"/>
      <c r="K15" s="9" t="str">
        <f t="shared" si="0"/>
        <v>✅ PASS</v>
      </c>
      <c r="L15" s="10"/>
    </row>
    <row r="16" spans="1:12" ht="52.05" customHeight="1" x14ac:dyDescent="0.3">
      <c r="A16" s="3" t="s">
        <v>81</v>
      </c>
      <c r="B16" s="16" t="s">
        <v>70</v>
      </c>
      <c r="C16" s="5" t="s">
        <v>71</v>
      </c>
      <c r="D16" s="23" t="s">
        <v>82</v>
      </c>
      <c r="E16" s="6" t="s">
        <v>83</v>
      </c>
      <c r="F16" s="7" t="s">
        <v>84</v>
      </c>
      <c r="G16" s="8" t="s">
        <v>85</v>
      </c>
      <c r="H16" s="8"/>
      <c r="I16" s="9"/>
      <c r="J16" s="9"/>
      <c r="K16" s="9" t="str">
        <f t="shared" si="0"/>
        <v/>
      </c>
      <c r="L16" s="10"/>
    </row>
    <row r="17" spans="1:12" ht="52.05" customHeight="1" x14ac:dyDescent="0.3">
      <c r="A17" s="11" t="s">
        <v>86</v>
      </c>
      <c r="B17" s="16" t="s">
        <v>70</v>
      </c>
      <c r="C17" s="12" t="s">
        <v>71</v>
      </c>
      <c r="D17" s="13" t="s">
        <v>87</v>
      </c>
      <c r="E17" s="13" t="s">
        <v>88</v>
      </c>
      <c r="F17" s="14" t="s">
        <v>89</v>
      </c>
      <c r="G17" s="15" t="s">
        <v>90</v>
      </c>
      <c r="H17" s="27">
        <v>0.62319999999999998</v>
      </c>
      <c r="I17" s="24">
        <v>0.59179999999999999</v>
      </c>
      <c r="J17" s="9"/>
      <c r="K17" s="9" t="str">
        <f t="shared" si="0"/>
        <v>✅ PASS</v>
      </c>
      <c r="L17" s="10"/>
    </row>
    <row r="18" spans="1:12" ht="52.05" customHeight="1" x14ac:dyDescent="0.3">
      <c r="A18" s="3" t="s">
        <v>91</v>
      </c>
      <c r="B18" s="16" t="s">
        <v>70</v>
      </c>
      <c r="C18" s="5" t="s">
        <v>71</v>
      </c>
      <c r="D18" s="6" t="s">
        <v>92</v>
      </c>
      <c r="E18" s="6" t="s">
        <v>93</v>
      </c>
      <c r="F18" s="7" t="s">
        <v>94</v>
      </c>
      <c r="G18" s="8" t="s">
        <v>95</v>
      </c>
      <c r="H18" s="27">
        <v>0.60660000000000003</v>
      </c>
      <c r="I18" s="21">
        <v>0.55589999999999995</v>
      </c>
      <c r="J18" s="9"/>
      <c r="K18" s="9" t="str">
        <f t="shared" si="0"/>
        <v>✅ PASS</v>
      </c>
      <c r="L18" s="10"/>
    </row>
    <row r="19" spans="1:12" ht="52.05" customHeight="1" x14ac:dyDescent="0.3">
      <c r="A19" s="11" t="s">
        <v>96</v>
      </c>
      <c r="B19" s="16" t="s">
        <v>70</v>
      </c>
      <c r="C19" s="12" t="s">
        <v>71</v>
      </c>
      <c r="D19" s="13" t="s">
        <v>97</v>
      </c>
      <c r="E19" s="13" t="s">
        <v>98</v>
      </c>
      <c r="F19" s="14" t="s">
        <v>99</v>
      </c>
      <c r="G19" s="15" t="s">
        <v>100</v>
      </c>
      <c r="H19" s="26"/>
      <c r="I19" s="21">
        <v>0.56950000000000001</v>
      </c>
      <c r="J19" s="9"/>
      <c r="K19" s="9" t="str">
        <f t="shared" si="0"/>
        <v>✅ PASS</v>
      </c>
      <c r="L19" s="10"/>
    </row>
    <row r="20" spans="1:12" ht="52.05" customHeight="1" x14ac:dyDescent="0.3">
      <c r="A20" s="3" t="s">
        <v>101</v>
      </c>
      <c r="B20" s="16" t="s">
        <v>70</v>
      </c>
      <c r="C20" s="5" t="s">
        <v>71</v>
      </c>
      <c r="D20" s="6" t="s">
        <v>102</v>
      </c>
      <c r="E20" s="6" t="s">
        <v>103</v>
      </c>
      <c r="F20" s="7" t="s">
        <v>104</v>
      </c>
      <c r="G20" s="8" t="s">
        <v>105</v>
      </c>
      <c r="H20" s="27">
        <v>0.53310000000000002</v>
      </c>
      <c r="I20" s="21">
        <v>0.6089</v>
      </c>
      <c r="J20" s="9"/>
      <c r="K20" s="9" t="str">
        <f t="shared" si="0"/>
        <v>✅ PASS</v>
      </c>
      <c r="L20" s="10"/>
    </row>
    <row r="21" spans="1:12" ht="52.05" customHeight="1" x14ac:dyDescent="0.3">
      <c r="A21" s="11" t="s">
        <v>106</v>
      </c>
      <c r="B21" s="16" t="s">
        <v>70</v>
      </c>
      <c r="C21" s="12" t="s">
        <v>107</v>
      </c>
      <c r="D21" s="13" t="s">
        <v>108</v>
      </c>
      <c r="E21" s="13" t="s">
        <v>109</v>
      </c>
      <c r="F21" s="14" t="s">
        <v>110</v>
      </c>
      <c r="G21" s="15" t="s">
        <v>111</v>
      </c>
      <c r="H21" s="27">
        <v>0.59689999999999999</v>
      </c>
      <c r="I21" s="21">
        <v>0.63460000000000005</v>
      </c>
      <c r="J21" s="9"/>
      <c r="K21" s="9" t="str">
        <f>IF(I21="","",IF(AND(I21&gt;=0.45,I21&lt;=0.72),"✅ PASS","❌ FAIL"))</f>
        <v>✅ PASS</v>
      </c>
      <c r="L21" s="10"/>
    </row>
    <row r="22" spans="1:12" ht="52.05" customHeight="1" x14ac:dyDescent="0.3">
      <c r="A22" s="3" t="s">
        <v>112</v>
      </c>
      <c r="B22" s="16" t="s">
        <v>70</v>
      </c>
      <c r="C22" s="5" t="s">
        <v>113</v>
      </c>
      <c r="D22" s="6" t="s">
        <v>72</v>
      </c>
      <c r="E22" s="6" t="s">
        <v>114</v>
      </c>
      <c r="F22" s="7" t="s">
        <v>115</v>
      </c>
      <c r="G22" s="8" t="s">
        <v>75</v>
      </c>
      <c r="H22" s="25"/>
      <c r="I22" s="24">
        <v>0.56020000000000003</v>
      </c>
      <c r="J22" s="9"/>
      <c r="K22" s="9" t="str">
        <f>IF(I22="","",IF(AND(I22&gt;=0.45,I22&lt;=0.7),"✅ PASS","❌ FAIL"))</f>
        <v>✅ PASS</v>
      </c>
      <c r="L22" s="10"/>
    </row>
    <row r="23" spans="1:12" ht="52.05" customHeight="1" x14ac:dyDescent="0.3">
      <c r="A23" s="11" t="s">
        <v>116</v>
      </c>
      <c r="B23" s="16" t="s">
        <v>70</v>
      </c>
      <c r="C23" s="12" t="s">
        <v>117</v>
      </c>
      <c r="D23" s="22" t="s">
        <v>118</v>
      </c>
      <c r="E23" s="13" t="s">
        <v>119</v>
      </c>
      <c r="F23" s="14" t="s">
        <v>120</v>
      </c>
      <c r="G23" s="15" t="s">
        <v>121</v>
      </c>
      <c r="H23" s="26"/>
      <c r="I23" s="21">
        <v>0.68720000000000003</v>
      </c>
      <c r="J23" s="9"/>
      <c r="K23" s="9" t="str">
        <f>IF(I23="","",IF(AND(I23&gt;=0.45,I23&lt;=0.68),"✅ PASS","❌ FAIL"))</f>
        <v>❌ FAIL</v>
      </c>
      <c r="L23" s="10"/>
    </row>
    <row r="24" spans="1:12" ht="52.05" customHeight="1" x14ac:dyDescent="0.3">
      <c r="A24" s="3" t="s">
        <v>122</v>
      </c>
      <c r="B24" s="17" t="s">
        <v>123</v>
      </c>
      <c r="C24" s="5" t="s">
        <v>124</v>
      </c>
      <c r="D24" s="6" t="s">
        <v>15</v>
      </c>
      <c r="E24" s="6" t="s">
        <v>109</v>
      </c>
      <c r="F24" s="7" t="s">
        <v>125</v>
      </c>
      <c r="G24" s="8" t="s">
        <v>18</v>
      </c>
      <c r="H24" s="28">
        <v>0.44540000000000002</v>
      </c>
      <c r="I24" s="21">
        <v>0.45419999999999999</v>
      </c>
      <c r="J24" s="9"/>
      <c r="K24" s="9" t="str">
        <f t="shared" ref="K24:K33" si="1">IF(I24="","",IF(AND(I24&gt;=0,I24&lt;=0.44),"✅ PASS","❌ FAIL"))</f>
        <v>❌ FAIL</v>
      </c>
      <c r="L24" s="10"/>
    </row>
    <row r="25" spans="1:12" ht="52.05" customHeight="1" x14ac:dyDescent="0.3">
      <c r="A25" s="11" t="s">
        <v>126</v>
      </c>
      <c r="B25" s="17" t="s">
        <v>123</v>
      </c>
      <c r="C25" s="12" t="s">
        <v>124</v>
      </c>
      <c r="D25" s="22" t="s">
        <v>43</v>
      </c>
      <c r="E25" s="13" t="s">
        <v>93</v>
      </c>
      <c r="F25" s="14" t="s">
        <v>127</v>
      </c>
      <c r="G25" s="15" t="s">
        <v>46</v>
      </c>
      <c r="H25" s="15"/>
      <c r="I25" s="9"/>
      <c r="J25" s="9"/>
      <c r="K25" s="9" t="str">
        <f t="shared" si="1"/>
        <v/>
      </c>
      <c r="L25" s="10"/>
    </row>
    <row r="26" spans="1:12" ht="52.05" customHeight="1" x14ac:dyDescent="0.3">
      <c r="A26" s="3" t="s">
        <v>128</v>
      </c>
      <c r="B26" s="17" t="s">
        <v>123</v>
      </c>
      <c r="C26" s="5" t="s">
        <v>124</v>
      </c>
      <c r="D26" s="6" t="s">
        <v>129</v>
      </c>
      <c r="E26" s="6" t="s">
        <v>102</v>
      </c>
      <c r="F26" s="7" t="s">
        <v>130</v>
      </c>
      <c r="G26" s="8" t="s">
        <v>131</v>
      </c>
      <c r="H26" s="8"/>
      <c r="I26" s="9"/>
      <c r="J26" s="9"/>
      <c r="K26" s="9" t="str">
        <f t="shared" si="1"/>
        <v/>
      </c>
      <c r="L26" s="10"/>
    </row>
    <row r="27" spans="1:12" ht="52.05" customHeight="1" x14ac:dyDescent="0.3">
      <c r="A27" s="11" t="s">
        <v>132</v>
      </c>
      <c r="B27" s="17" t="s">
        <v>123</v>
      </c>
      <c r="C27" s="12" t="s">
        <v>124</v>
      </c>
      <c r="D27" s="13" t="s">
        <v>73</v>
      </c>
      <c r="E27" s="13" t="s">
        <v>133</v>
      </c>
      <c r="F27" s="14" t="s">
        <v>134</v>
      </c>
      <c r="G27" s="15" t="s">
        <v>135</v>
      </c>
      <c r="H27" s="15"/>
      <c r="I27" s="9"/>
      <c r="J27" s="9"/>
      <c r="K27" s="9" t="str">
        <f t="shared" si="1"/>
        <v/>
      </c>
      <c r="L27" s="10"/>
    </row>
    <row r="28" spans="1:12" ht="52.05" customHeight="1" x14ac:dyDescent="0.3">
      <c r="A28" s="3" t="s">
        <v>136</v>
      </c>
      <c r="B28" s="17" t="s">
        <v>123</v>
      </c>
      <c r="C28" s="5" t="s">
        <v>124</v>
      </c>
      <c r="D28" s="6" t="s">
        <v>66</v>
      </c>
      <c r="E28" s="6" t="s">
        <v>32</v>
      </c>
      <c r="F28" s="7" t="s">
        <v>137</v>
      </c>
      <c r="G28" s="8" t="s">
        <v>138</v>
      </c>
      <c r="H28" s="8"/>
      <c r="I28" s="9"/>
      <c r="J28" s="9"/>
      <c r="K28" s="9" t="str">
        <f t="shared" si="1"/>
        <v/>
      </c>
      <c r="L28" s="10"/>
    </row>
    <row r="29" spans="1:12" ht="52.05" customHeight="1" x14ac:dyDescent="0.3">
      <c r="A29" s="11" t="s">
        <v>139</v>
      </c>
      <c r="B29" s="17" t="s">
        <v>123</v>
      </c>
      <c r="C29" s="12" t="s">
        <v>124</v>
      </c>
      <c r="D29" s="13" t="s">
        <v>140</v>
      </c>
      <c r="E29" s="13" t="s">
        <v>48</v>
      </c>
      <c r="F29" s="14" t="s">
        <v>141</v>
      </c>
      <c r="G29" s="15" t="s">
        <v>142</v>
      </c>
      <c r="H29" s="15"/>
      <c r="I29" s="9"/>
      <c r="J29" s="9"/>
      <c r="K29" s="9" t="str">
        <f t="shared" si="1"/>
        <v/>
      </c>
      <c r="L29" s="10"/>
    </row>
    <row r="30" spans="1:12" ht="52.05" customHeight="1" x14ac:dyDescent="0.3">
      <c r="A30" s="3" t="s">
        <v>143</v>
      </c>
      <c r="B30" s="17" t="s">
        <v>123</v>
      </c>
      <c r="C30" s="5" t="s">
        <v>124</v>
      </c>
      <c r="D30" s="6" t="s">
        <v>144</v>
      </c>
      <c r="E30" s="6" t="s">
        <v>82</v>
      </c>
      <c r="F30" s="7" t="s">
        <v>145</v>
      </c>
      <c r="G30" s="8" t="s">
        <v>146</v>
      </c>
      <c r="H30" s="8"/>
      <c r="I30" s="9"/>
      <c r="J30" s="9"/>
      <c r="K30" s="9" t="str">
        <f t="shared" si="1"/>
        <v/>
      </c>
      <c r="L30" s="10"/>
    </row>
    <row r="31" spans="1:12" ht="52.05" customHeight="1" x14ac:dyDescent="0.3">
      <c r="A31" s="11" t="s">
        <v>147</v>
      </c>
      <c r="B31" s="17" t="s">
        <v>123</v>
      </c>
      <c r="C31" s="12" t="s">
        <v>124</v>
      </c>
      <c r="D31" s="13" t="s">
        <v>54</v>
      </c>
      <c r="E31" s="13" t="s">
        <v>78</v>
      </c>
      <c r="F31" s="14" t="s">
        <v>148</v>
      </c>
      <c r="G31" s="15" t="s">
        <v>57</v>
      </c>
      <c r="H31" s="15"/>
      <c r="I31" s="9"/>
      <c r="J31" s="9"/>
      <c r="K31" s="9" t="str">
        <f t="shared" si="1"/>
        <v/>
      </c>
      <c r="L31" s="10"/>
    </row>
    <row r="32" spans="1:12" ht="52.05" customHeight="1" x14ac:dyDescent="0.3">
      <c r="A32" s="3" t="s">
        <v>149</v>
      </c>
      <c r="B32" s="17" t="s">
        <v>123</v>
      </c>
      <c r="C32" s="5" t="s">
        <v>124</v>
      </c>
      <c r="D32" s="23" t="s">
        <v>150</v>
      </c>
      <c r="E32" s="6" t="s">
        <v>60</v>
      </c>
      <c r="F32" s="7" t="s">
        <v>151</v>
      </c>
      <c r="G32" s="8" t="s">
        <v>152</v>
      </c>
      <c r="H32" s="25"/>
      <c r="I32" s="21">
        <v>0.43730000000000002</v>
      </c>
      <c r="J32" s="9"/>
      <c r="K32" s="9" t="str">
        <f t="shared" si="1"/>
        <v>✅ PASS</v>
      </c>
      <c r="L32" s="10"/>
    </row>
    <row r="33" spans="1:12" ht="52.05" customHeight="1" x14ac:dyDescent="0.3">
      <c r="A33" s="11" t="s">
        <v>153</v>
      </c>
      <c r="B33" s="17" t="s">
        <v>123</v>
      </c>
      <c r="C33" s="12" t="s">
        <v>124</v>
      </c>
      <c r="D33" s="22" t="s">
        <v>92</v>
      </c>
      <c r="E33" s="13" t="s">
        <v>154</v>
      </c>
      <c r="F33" s="14" t="s">
        <v>155</v>
      </c>
      <c r="G33" s="15" t="s">
        <v>95</v>
      </c>
      <c r="H33" s="15"/>
      <c r="I33" s="9"/>
      <c r="J33" s="9"/>
      <c r="K33" s="9" t="str">
        <f t="shared" si="1"/>
        <v/>
      </c>
      <c r="L33" s="10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.05" customHeight="1" x14ac:dyDescent="0.3">
      <c r="A35" s="35" t="s">
        <v>156</v>
      </c>
      <c r="B35" s="30"/>
      <c r="C35" s="30"/>
      <c r="D35" s="18" t="s">
        <v>157</v>
      </c>
      <c r="E35" s="19">
        <f>COUNTA(I4:I33)</f>
        <v>21</v>
      </c>
      <c r="F35" s="18" t="s">
        <v>158</v>
      </c>
      <c r="G35" s="19">
        <f>COUNTIF(K4:K33,"✅ PASS")</f>
        <v>11</v>
      </c>
      <c r="H35" s="19"/>
      <c r="I35" s="18" t="s">
        <v>159</v>
      </c>
      <c r="J35" s="19">
        <f>COUNTIF(K4:K33,"❌ FAIL")</f>
        <v>10</v>
      </c>
      <c r="K35" s="18" t="s">
        <v>160</v>
      </c>
      <c r="L35" s="20">
        <f>IFERROR(COUNTIF(K4:K33,"✅ PASS")/COUNTA(I4:I33),"—")</f>
        <v>0.52380952380952384</v>
      </c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" customHeight="1" x14ac:dyDescent="0.3">
      <c r="A37" s="32" t="s">
        <v>161</v>
      </c>
      <c r="B37" s="30"/>
      <c r="C37" s="31" t="s">
        <v>162</v>
      </c>
      <c r="D37" s="30"/>
      <c r="E37" s="34" t="s">
        <v>163</v>
      </c>
      <c r="F37" s="30"/>
      <c r="G37" s="33" t="s">
        <v>164</v>
      </c>
      <c r="H37" s="33"/>
      <c r="I37" s="30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6">
    <mergeCell ref="A1:L1"/>
    <mergeCell ref="C37:D37"/>
    <mergeCell ref="A37:B37"/>
    <mergeCell ref="G37:I37"/>
    <mergeCell ref="E37:F37"/>
    <mergeCell ref="A35:C35"/>
  </mergeCells>
  <conditionalFormatting sqref="K4:K33">
    <cfRule type="cellIs" dxfId="1" priority="1" operator="equal">
      <formula>"✅ PASS"</formula>
    </cfRule>
    <cfRule type="cellIs" dxfId="0" priority="2" operator="equal">
      <formula>"❌ FAIL"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 Thomas</cp:lastModifiedBy>
  <dcterms:created xsi:type="dcterms:W3CDTF">2026-04-13T17:20:40Z</dcterms:created>
  <dcterms:modified xsi:type="dcterms:W3CDTF">2026-04-14T20:01:35Z</dcterms:modified>
</cp:coreProperties>
</file>